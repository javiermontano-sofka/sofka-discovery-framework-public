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Análisis Horizontal" sheetId="2" state="visible" r:id="rId2"/>
    <sheet xmlns:r="http://schemas.openxmlformats.org/officeDocument/2006/relationships" name="Top 10 Variaciones" sheetId="3" state="visible" r:id="rId3"/>
    <sheet xmlns:r="http://schemas.openxmlformats.org/officeDocument/2006/relationships" name="Indicadores" sheetId="4" state="visible" r:id="rId4"/>
    <sheet xmlns:r="http://schemas.openxmlformats.org/officeDocument/2006/relationships" name="Alertas y Recomendaciones" sheetId="5" state="visible" r:id="rId5"/>
    <sheet xmlns:r="http://schemas.openxmlformats.org/officeDocument/2006/relationships" name="Metodologí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&quot;%&quot;"/>
    <numFmt numFmtId="166" formatCode="0.0"/>
    <numFmt numFmtId="167" formatCode="0.0;(0.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3366"/>
      <sz val="16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003366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3366"/>
      <sz val="10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003366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double">
        <color rgb="00003366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2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 vertical="top" wrapText="1"/>
    </xf>
    <xf numFmtId="0" fontId="6" fillId="0" borderId="1" pivotButton="0" quotePrefix="0" xfId="0"/>
    <xf numFmtId="0" fontId="8" fillId="0" borderId="1" pivotButton="0" quotePrefix="0" xfId="0"/>
    <xf numFmtId="166" fontId="3" fillId="0" borderId="1" pivotButton="0" quotePrefix="0" xfId="0"/>
    <xf numFmtId="167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INFORME DE ANÁLISIS HORIZONTAL</t>
        </is>
      </c>
    </row>
    <row r="3">
      <c r="A3" s="2" t="inlineStr">
        <is>
          <t>Empresa:</t>
        </is>
      </c>
      <c r="B3" s="3" t="inlineStr">
        <is>
          <t>Empresa Demo S.A.</t>
        </is>
      </c>
    </row>
    <row r="4">
      <c r="A4" s="2" t="inlineStr">
        <is>
          <t>Estado Financiero:</t>
        </is>
      </c>
      <c r="B4" s="3" t="inlineStr">
        <is>
          <t>Estado de Resultados (P&amp;L)</t>
        </is>
      </c>
    </row>
    <row r="5">
      <c r="A5" s="2" t="inlineStr">
        <is>
          <t>Período Base:</t>
        </is>
      </c>
      <c r="B5" s="3" t="inlineStr">
        <is>
          <t>2023</t>
        </is>
      </c>
    </row>
    <row r="6">
      <c r="A6" s="2" t="inlineStr">
        <is>
          <t>Período Comparación:</t>
        </is>
      </c>
      <c r="B6" s="3" t="inlineStr">
        <is>
          <t>2024</t>
        </is>
      </c>
    </row>
    <row r="7">
      <c r="A7" s="2" t="inlineStr">
        <is>
          <t>Moneda:</t>
        </is>
      </c>
      <c r="B7" s="3" t="inlineStr">
        <is>
          <t>COP</t>
        </is>
      </c>
    </row>
    <row r="8">
      <c r="A8" s="2" t="inlineStr">
        <is>
          <t>Escala:</t>
        </is>
      </c>
      <c r="B8" s="3" t="inlineStr">
        <is>
          <t>Millones</t>
        </is>
      </c>
    </row>
    <row r="9">
      <c r="A9" s="2" t="inlineStr">
        <is>
          <t>Fecha de elaboración:</t>
        </is>
      </c>
      <c r="B9" s="3" t="inlineStr">
        <is>
          <t>2026-03-17</t>
        </is>
      </c>
    </row>
    <row r="11">
      <c r="A11" s="4" t="inlineStr">
        <is>
          <t>VEREDICTO GENERAL</t>
        </is>
      </c>
    </row>
    <row r="12">
      <c r="A12" s="2" t="inlineStr">
        <is>
          <t>Semáforo:</t>
        </is>
      </c>
      <c r="B12" s="5" t="inlineStr">
        <is>
          <t>[🟢/🟡/🔴]</t>
        </is>
      </c>
    </row>
    <row r="13">
      <c r="A13" s="2" t="inlineStr">
        <is>
          <t>Conclusión:</t>
        </is>
      </c>
      <c r="B13" s="6" t="inlineStr">
        <is>
          <t>[Conclusión del análisis en 2-3 oraciones]</t>
        </is>
      </c>
    </row>
    <row r="14"/>
    <row r="16">
      <c r="A16" s="4" t="inlineStr">
        <is>
          <t>TOP 3 VARIACIONES MÁS SIGNIFICATIVAS</t>
        </is>
      </c>
    </row>
    <row r="17">
      <c r="A17" s="2" t="inlineStr">
        <is>
          <t>#1:</t>
        </is>
      </c>
      <c r="B17" s="5" t="inlineStr">
        <is>
          <t>[Variación #1]</t>
        </is>
      </c>
    </row>
    <row r="18">
      <c r="A18" s="2" t="inlineStr">
        <is>
          <t>#2:</t>
        </is>
      </c>
      <c r="B18" s="5" t="inlineStr">
        <is>
          <t>[Variación #2]</t>
        </is>
      </c>
    </row>
    <row r="19">
      <c r="A19" s="2" t="inlineStr">
        <is>
          <t>#3:</t>
        </is>
      </c>
      <c r="B19" s="5" t="inlineStr">
        <is>
          <t>[Variación #3]</t>
        </is>
      </c>
    </row>
  </sheetData>
  <mergeCells count="7">
    <mergeCell ref="B13:F14"/>
    <mergeCell ref="A16:F16"/>
    <mergeCell ref="A11:F11"/>
    <mergeCell ref="A1:F1"/>
    <mergeCell ref="B19:F19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</sheetPr>
  <dimension ref="A1:G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2" customWidth="1" min="5" max="5"/>
    <col width="18" customWidth="1" min="6" max="6"/>
    <col width="15" customWidth="1" min="7" max="7"/>
  </cols>
  <sheetData>
    <row r="1">
      <c r="A1" s="7" t="inlineStr">
        <is>
          <t>Partida</t>
        </is>
      </c>
      <c r="B1" s="7" t="inlineStr">
        <is>
          <t>2023</t>
        </is>
      </c>
      <c r="C1" s="7" t="inlineStr">
        <is>
          <t>2024</t>
        </is>
      </c>
      <c r="D1" s="7" t="inlineStr">
        <is>
          <t>Var. Absoluta</t>
        </is>
      </c>
      <c r="E1" s="7" t="inlineStr">
        <is>
          <t>Var. %</t>
        </is>
      </c>
      <c r="F1" s="7" t="inlineStr">
        <is>
          <t>Participación Base %</t>
        </is>
      </c>
      <c r="G1" s="7" t="inlineStr">
        <is>
          <t>Señal</t>
        </is>
      </c>
    </row>
    <row r="2">
      <c r="A2" s="8" t="inlineStr">
        <is>
          <t>INGRESOS</t>
        </is>
      </c>
      <c r="B2" s="9" t="n"/>
      <c r="C2" s="9" t="n"/>
      <c r="D2" s="9" t="n"/>
      <c r="E2" s="9" t="n"/>
      <c r="F2" s="9" t="n"/>
      <c r="G2" s="9" t="n"/>
    </row>
    <row r="3">
      <c r="A3" s="10" t="inlineStr">
        <is>
          <t xml:space="preserve">  Ingresos operacionales</t>
        </is>
      </c>
      <c r="B3" s="11" t="n">
        <v>0</v>
      </c>
      <c r="C3" s="11" t="n">
        <v>0</v>
      </c>
      <c r="D3" s="12">
        <f>C3-B3</f>
        <v/>
      </c>
      <c r="E3" s="13">
        <f>IF(B3=0,IF(C3=0,0,"N/A"),D3/ABS(B3)*100)</f>
        <v/>
      </c>
      <c r="F3" s="9" t="n"/>
      <c r="G3" s="9">
        <f>IF(E3="N/A","🔵",IF(ABS(E3)&gt;15,IF(E3&gt;0,"🟢 ↑↑","🔴 ↓↓"),IF(ABS(E3)&gt;5,IF(E3&gt;0,"🟢 ↑","🟡 ↓"),"⚪ →")))</f>
        <v/>
      </c>
    </row>
    <row r="4">
      <c r="A4" s="10" t="inlineStr">
        <is>
          <t xml:space="preserve">  Otros ingresos</t>
        </is>
      </c>
      <c r="B4" s="11" t="n">
        <v>0</v>
      </c>
      <c r="C4" s="11" t="n">
        <v>0</v>
      </c>
      <c r="D4" s="12">
        <f>C4-B4</f>
        <v/>
      </c>
      <c r="E4" s="13">
        <f>IF(B4=0,IF(C4=0,0,"N/A"),D4/ABS(B4)*100)</f>
        <v/>
      </c>
      <c r="F4" s="9" t="n"/>
      <c r="G4" s="9">
        <f>IF(E4="N/A","🔵",IF(ABS(E4)&gt;15,IF(E4&gt;0,"🟢 ↑↑","🔴 ↓↓"),IF(ABS(E4)&gt;5,IF(E4&gt;0,"🟢 ↑","🟡 ↓"),"⚪ →")))</f>
        <v/>
      </c>
    </row>
    <row r="5">
      <c r="A5" s="14" t="inlineStr">
        <is>
          <t>TOTAL INGRESOS</t>
        </is>
      </c>
      <c r="B5" s="15" t="n"/>
      <c r="C5" s="15" t="n"/>
      <c r="D5" s="15" t="n"/>
      <c r="E5" s="15" t="n"/>
      <c r="F5" s="15" t="n"/>
      <c r="G5" s="15" t="n"/>
    </row>
    <row r="6">
      <c r="A6" s="10" t="inlineStr"/>
      <c r="B6" s="9" t="n"/>
      <c r="C6" s="9" t="n"/>
      <c r="D6" s="9" t="n"/>
      <c r="E6" s="9" t="n"/>
      <c r="F6" s="9" t="n"/>
      <c r="G6" s="9" t="n"/>
    </row>
    <row r="7">
      <c r="A7" s="8" t="inlineStr">
        <is>
          <t>COSTOS</t>
        </is>
      </c>
      <c r="B7" s="9" t="n"/>
      <c r="C7" s="9" t="n"/>
      <c r="D7" s="9" t="n"/>
      <c r="E7" s="9" t="n"/>
      <c r="F7" s="9" t="n"/>
      <c r="G7" s="9" t="n"/>
    </row>
    <row r="8">
      <c r="A8" s="10" t="inlineStr">
        <is>
          <t xml:space="preserve">  Costo de ventas</t>
        </is>
      </c>
      <c r="B8" s="11" t="n">
        <v>0</v>
      </c>
      <c r="C8" s="11" t="n">
        <v>0</v>
      </c>
      <c r="D8" s="12">
        <f>C8-B8</f>
        <v/>
      </c>
      <c r="E8" s="13">
        <f>IF(B8=0,IF(C8=0,0,"N/A"),D8/ABS(B8)*100)</f>
        <v/>
      </c>
      <c r="F8" s="9" t="n"/>
      <c r="G8" s="9">
        <f>IF(E8="N/A","🔵",IF(ABS(E8)&gt;15,IF(E8&gt;0,"🟢 ↑↑","🔴 ↓↓"),IF(ABS(E8)&gt;5,IF(E8&gt;0,"🟢 ↑","🟡 ↓"),"⚪ →")))</f>
        <v/>
      </c>
    </row>
    <row r="9">
      <c r="A9" s="10" t="inlineStr">
        <is>
          <t xml:space="preserve">  Costo de servicios</t>
        </is>
      </c>
      <c r="B9" s="11" t="n">
        <v>0</v>
      </c>
      <c r="C9" s="11" t="n">
        <v>0</v>
      </c>
      <c r="D9" s="12">
        <f>C9-B9</f>
        <v/>
      </c>
      <c r="E9" s="13">
        <f>IF(B9=0,IF(C9=0,0,"N/A"),D9/ABS(B9)*100)</f>
        <v/>
      </c>
      <c r="F9" s="9" t="n"/>
      <c r="G9" s="9">
        <f>IF(E9="N/A","🔵",IF(ABS(E9)&gt;15,IF(E9&gt;0,"🟢 ↑↑","🔴 ↓↓"),IF(ABS(E9)&gt;5,IF(E9&gt;0,"🟢 ↑","🟡 ↓"),"⚪ →")))</f>
        <v/>
      </c>
    </row>
    <row r="10">
      <c r="A10" s="14" t="inlineStr">
        <is>
          <t>TOTAL COSTOS</t>
        </is>
      </c>
      <c r="B10" s="15" t="n"/>
      <c r="C10" s="15" t="n"/>
      <c r="D10" s="15" t="n"/>
      <c r="E10" s="15" t="n"/>
      <c r="F10" s="15" t="n"/>
      <c r="G10" s="15" t="n"/>
    </row>
    <row r="11">
      <c r="A11" s="10" t="inlineStr"/>
      <c r="B11" s="9" t="n"/>
      <c r="C11" s="9" t="n"/>
      <c r="D11" s="9" t="n"/>
      <c r="E11" s="9" t="n"/>
      <c r="F11" s="9" t="n"/>
      <c r="G11" s="9" t="n"/>
    </row>
    <row r="12">
      <c r="A12" s="14" t="inlineStr">
        <is>
          <t>UTILIDAD BRUTA (Gross Profit)</t>
        </is>
      </c>
      <c r="B12" s="15" t="n"/>
      <c r="C12" s="15" t="n"/>
      <c r="D12" s="15" t="n"/>
      <c r="E12" s="15" t="n"/>
      <c r="F12" s="15" t="n"/>
      <c r="G12" s="15" t="n"/>
    </row>
    <row r="13">
      <c r="A13" s="10" t="inlineStr"/>
      <c r="B13" s="9" t="n"/>
      <c r="C13" s="9" t="n"/>
      <c r="D13" s="9" t="n"/>
      <c r="E13" s="9" t="n"/>
      <c r="F13" s="9" t="n"/>
      <c r="G13" s="9" t="n"/>
    </row>
    <row r="14">
      <c r="A14" s="8" t="inlineStr">
        <is>
          <t>GASTOS OPERACIONALES</t>
        </is>
      </c>
      <c r="B14" s="9" t="n"/>
      <c r="C14" s="9" t="n"/>
      <c r="D14" s="9" t="n"/>
      <c r="E14" s="9" t="n"/>
      <c r="F14" s="9" t="n"/>
      <c r="G14" s="9" t="n"/>
    </row>
    <row r="15">
      <c r="A15" s="10" t="inlineStr">
        <is>
          <t xml:space="preserve">  Gastos de administración</t>
        </is>
      </c>
      <c r="B15" s="11" t="n">
        <v>0</v>
      </c>
      <c r="C15" s="11" t="n">
        <v>0</v>
      </c>
      <c r="D15" s="12">
        <f>C15-B15</f>
        <v/>
      </c>
      <c r="E15" s="13">
        <f>IF(B15=0,IF(C15=0,0,"N/A"),D15/ABS(B15)*100)</f>
        <v/>
      </c>
      <c r="F15" s="9" t="n"/>
      <c r="G15" s="9">
        <f>IF(E15="N/A","🔵",IF(ABS(E15)&gt;15,IF(E15&gt;0,"🟢 ↑↑","🔴 ↓↓"),IF(ABS(E15)&gt;5,IF(E15&gt;0,"🟢 ↑","🟡 ↓"),"⚪ →")))</f>
        <v/>
      </c>
    </row>
    <row r="16">
      <c r="A16" s="10" t="inlineStr">
        <is>
          <t xml:space="preserve">  Gastos de ventas</t>
        </is>
      </c>
      <c r="B16" s="11" t="n">
        <v>0</v>
      </c>
      <c r="C16" s="11" t="n">
        <v>0</v>
      </c>
      <c r="D16" s="12">
        <f>C16-B16</f>
        <v/>
      </c>
      <c r="E16" s="13">
        <f>IF(B16=0,IF(C16=0,0,"N/A"),D16/ABS(B16)*100)</f>
        <v/>
      </c>
      <c r="F16" s="9" t="n"/>
      <c r="G16" s="9">
        <f>IF(E16="N/A","🔵",IF(ABS(E16)&gt;15,IF(E16&gt;0,"🟢 ↑↑","🔴 ↓↓"),IF(ABS(E16)&gt;5,IF(E16&gt;0,"🟢 ↑","🟡 ↓"),"⚪ →")))</f>
        <v/>
      </c>
    </row>
    <row r="17">
      <c r="A17" s="10" t="inlineStr">
        <is>
          <t xml:space="preserve">  Depreciación y amortización</t>
        </is>
      </c>
      <c r="B17" s="11" t="n">
        <v>0</v>
      </c>
      <c r="C17" s="11" t="n">
        <v>0</v>
      </c>
      <c r="D17" s="12">
        <f>C17-B17</f>
        <v/>
      </c>
      <c r="E17" s="13">
        <f>IF(B17=0,IF(C17=0,0,"N/A"),D17/ABS(B17)*100)</f>
        <v/>
      </c>
      <c r="F17" s="9" t="n"/>
      <c r="G17" s="9">
        <f>IF(E17="N/A","🔵",IF(ABS(E17)&gt;15,IF(E17&gt;0,"🟢 ↑↑","🔴 ↓↓"),IF(ABS(E17)&gt;5,IF(E17&gt;0,"🟢 ↑","🟡 ↓"),"⚪ →")))</f>
        <v/>
      </c>
    </row>
    <row r="18">
      <c r="A18" s="10" t="inlineStr">
        <is>
          <t xml:space="preserve">  Otros gastos operacionales</t>
        </is>
      </c>
      <c r="B18" s="11" t="n">
        <v>0</v>
      </c>
      <c r="C18" s="11" t="n">
        <v>0</v>
      </c>
      <c r="D18" s="12">
        <f>C18-B18</f>
        <v/>
      </c>
      <c r="E18" s="13">
        <f>IF(B18=0,IF(C18=0,0,"N/A"),D18/ABS(B18)*100)</f>
        <v/>
      </c>
      <c r="F18" s="9" t="n"/>
      <c r="G18" s="9">
        <f>IF(E18="N/A","🔵",IF(ABS(E18)&gt;15,IF(E18&gt;0,"🟢 ↑↑","🔴 ↓↓"),IF(ABS(E18)&gt;5,IF(E18&gt;0,"🟢 ↑","🟡 ↓"),"⚪ →")))</f>
        <v/>
      </c>
    </row>
    <row r="19">
      <c r="A19" s="14" t="inlineStr">
        <is>
          <t>TOTAL GASTOS OPERACIONALES</t>
        </is>
      </c>
      <c r="B19" s="15" t="n"/>
      <c r="C19" s="15" t="n"/>
      <c r="D19" s="15" t="n"/>
      <c r="E19" s="15" t="n"/>
      <c r="F19" s="15" t="n"/>
      <c r="G19" s="15" t="n"/>
    </row>
    <row r="20">
      <c r="A20" s="10" t="inlineStr"/>
      <c r="B20" s="9" t="n"/>
      <c r="C20" s="9" t="n"/>
      <c r="D20" s="9" t="n"/>
      <c r="E20" s="9" t="n"/>
      <c r="F20" s="9" t="n"/>
      <c r="G20" s="9" t="n"/>
    </row>
    <row r="21">
      <c r="A21" s="14" t="inlineStr">
        <is>
          <t>UTILIDAD OPERACIONAL (EBIT)</t>
        </is>
      </c>
      <c r="B21" s="15" t="n"/>
      <c r="C21" s="15" t="n"/>
      <c r="D21" s="15" t="n"/>
      <c r="E21" s="15" t="n"/>
      <c r="F21" s="15" t="n"/>
      <c r="G21" s="15" t="n"/>
    </row>
    <row r="22">
      <c r="A22" s="10" t="inlineStr"/>
      <c r="B22" s="9" t="n"/>
      <c r="C22" s="9" t="n"/>
      <c r="D22" s="9" t="n"/>
      <c r="E22" s="9" t="n"/>
      <c r="F22" s="9" t="n"/>
      <c r="G22" s="9" t="n"/>
    </row>
    <row r="23">
      <c r="A23" s="8" t="inlineStr">
        <is>
          <t>RESULTADO FINANCIERO</t>
        </is>
      </c>
      <c r="B23" s="9" t="n"/>
      <c r="C23" s="9" t="n"/>
      <c r="D23" s="9" t="n"/>
      <c r="E23" s="9" t="n"/>
      <c r="F23" s="9" t="n"/>
      <c r="G23" s="9" t="n"/>
    </row>
    <row r="24">
      <c r="A24" s="10" t="inlineStr">
        <is>
          <t xml:space="preserve">  Ingresos financieros</t>
        </is>
      </c>
      <c r="B24" s="11" t="n">
        <v>0</v>
      </c>
      <c r="C24" s="11" t="n">
        <v>0</v>
      </c>
      <c r="D24" s="12">
        <f>C24-B24</f>
        <v/>
      </c>
      <c r="E24" s="13">
        <f>IF(B24=0,IF(C24=0,0,"N/A"),D24/ABS(B24)*100)</f>
        <v/>
      </c>
      <c r="F24" s="9" t="n"/>
      <c r="G24" s="9">
        <f>IF(E24="N/A","🔵",IF(ABS(E24)&gt;15,IF(E24&gt;0,"🟢 ↑↑","🔴 ↓↓"),IF(ABS(E24)&gt;5,IF(E24&gt;0,"🟢 ↑","🟡 ↓"),"⚪ →")))</f>
        <v/>
      </c>
    </row>
    <row r="25">
      <c r="A25" s="10" t="inlineStr">
        <is>
          <t xml:space="preserve">  Gastos financieros</t>
        </is>
      </c>
      <c r="B25" s="11" t="n">
        <v>0</v>
      </c>
      <c r="C25" s="11" t="n">
        <v>0</v>
      </c>
      <c r="D25" s="12">
        <f>C25-B25</f>
        <v/>
      </c>
      <c r="E25" s="13">
        <f>IF(B25=0,IF(C25=0,0,"N/A"),D25/ABS(B25)*100)</f>
        <v/>
      </c>
      <c r="F25" s="9" t="n"/>
      <c r="G25" s="9">
        <f>IF(E25="N/A","🔵",IF(ABS(E25)&gt;15,IF(E25&gt;0,"🟢 ↑↑","🔴 ↓↓"),IF(ABS(E25)&gt;5,IF(E25&gt;0,"🟢 ↑","🟡 ↓"),"⚪ →")))</f>
        <v/>
      </c>
    </row>
    <row r="26">
      <c r="A26" s="10" t="inlineStr">
        <is>
          <t xml:space="preserve">  Diferencia en cambio</t>
        </is>
      </c>
      <c r="B26" s="11" t="n">
        <v>0</v>
      </c>
      <c r="C26" s="11" t="n">
        <v>0</v>
      </c>
      <c r="D26" s="12">
        <f>C26-B26</f>
        <v/>
      </c>
      <c r="E26" s="13">
        <f>IF(B26=0,IF(C26=0,0,"N/A"),D26/ABS(B26)*100)</f>
        <v/>
      </c>
      <c r="F26" s="9" t="n"/>
      <c r="G26" s="9">
        <f>IF(E26="N/A","🔵",IF(ABS(E26)&gt;15,IF(E26&gt;0,"🟢 ↑↑","🔴 ↓↓"),IF(ABS(E26)&gt;5,IF(E26&gt;0,"🟢 ↑","🟡 ↓"),"⚪ →")))</f>
        <v/>
      </c>
    </row>
    <row r="27">
      <c r="A27" s="14" t="inlineStr">
        <is>
          <t>TOTAL RESULTADO FINANCIERO</t>
        </is>
      </c>
      <c r="B27" s="15" t="n"/>
      <c r="C27" s="15" t="n"/>
      <c r="D27" s="15" t="n"/>
      <c r="E27" s="15" t="n"/>
      <c r="F27" s="15" t="n"/>
      <c r="G27" s="15" t="n"/>
    </row>
    <row r="28">
      <c r="A28" s="10" t="inlineStr"/>
      <c r="B28" s="9" t="n"/>
      <c r="C28" s="9" t="n"/>
      <c r="D28" s="9" t="n"/>
      <c r="E28" s="9" t="n"/>
      <c r="F28" s="9" t="n"/>
      <c r="G28" s="9" t="n"/>
    </row>
    <row r="29">
      <c r="A29" s="14" t="inlineStr">
        <is>
          <t>RESULTADO ANTES DE IMPUESTOS (EBT)</t>
        </is>
      </c>
      <c r="B29" s="15" t="n"/>
      <c r="C29" s="15" t="n"/>
      <c r="D29" s="15" t="n"/>
      <c r="E29" s="15" t="n"/>
      <c r="F29" s="15" t="n"/>
      <c r="G29" s="15" t="n"/>
    </row>
    <row r="30">
      <c r="A30" s="10" t="inlineStr">
        <is>
          <t xml:space="preserve">  Impuesto de renta</t>
        </is>
      </c>
      <c r="B30" s="11" t="n">
        <v>0</v>
      </c>
      <c r="C30" s="11" t="n">
        <v>0</v>
      </c>
      <c r="D30" s="12">
        <f>C30-B30</f>
        <v/>
      </c>
      <c r="E30" s="13">
        <f>IF(B30=0,IF(C30=0,0,"N/A"),D30/ABS(B30)*100)</f>
        <v/>
      </c>
      <c r="F30" s="9" t="n"/>
      <c r="G30" s="9">
        <f>IF(E30="N/A","🔵",IF(ABS(E30)&gt;15,IF(E30&gt;0,"🟢 ↑↑","🔴 ↓↓"),IF(ABS(E30)&gt;5,IF(E30&gt;0,"🟢 ↑","🟡 ↓"),"⚪ →")))</f>
        <v/>
      </c>
    </row>
    <row r="31">
      <c r="A31" s="14" t="inlineStr">
        <is>
          <t>UTILIDAD NETA (Net Income)</t>
        </is>
      </c>
      <c r="B31" s="15" t="n"/>
      <c r="C31" s="15" t="n"/>
      <c r="D31" s="15" t="n"/>
      <c r="E31" s="15" t="n"/>
      <c r="F31" s="15" t="n"/>
      <c r="G31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2" customWidth="1" min="4" max="4"/>
    <col width="18" customWidth="1" min="5" max="5"/>
    <col width="18" customWidth="1" min="6" max="6"/>
    <col width="15" customWidth="1" min="7" max="7"/>
    <col width="40" customWidth="1" min="8" max="8"/>
  </cols>
  <sheetData>
    <row r="1">
      <c r="A1" s="7" t="inlineStr">
        <is>
          <t>Rank</t>
        </is>
      </c>
      <c r="B1" s="7" t="inlineStr">
        <is>
          <t>Partida</t>
        </is>
      </c>
      <c r="C1" s="7" t="inlineStr">
        <is>
          <t>Var. Absoluta</t>
        </is>
      </c>
      <c r="D1" s="7" t="inlineStr">
        <is>
          <t>Var. %</t>
        </is>
      </c>
      <c r="E1" s="7" t="inlineStr">
        <is>
          <t>Tipo Driver</t>
        </is>
      </c>
      <c r="F1" s="7" t="inlineStr">
        <is>
          <t>Clasificación</t>
        </is>
      </c>
      <c r="G1" s="7" t="inlineStr">
        <is>
          <t>Impacto</t>
        </is>
      </c>
      <c r="H1" s="7" t="inlineStr">
        <is>
          <t>Lectura Gerencial</t>
        </is>
      </c>
    </row>
    <row r="2">
      <c r="A2" s="16" t="n">
        <v>1</v>
      </c>
      <c r="B2" s="3" t="n"/>
      <c r="C2" s="3" t="n"/>
      <c r="D2" s="3" t="n"/>
      <c r="E2" s="3" t="n"/>
      <c r="F2" s="3" t="n"/>
      <c r="G2" s="3" t="n"/>
      <c r="H2" s="17" t="n"/>
    </row>
    <row r="3">
      <c r="A3" s="18" t="n">
        <v>2</v>
      </c>
      <c r="B3" s="19" t="n"/>
      <c r="C3" s="19" t="n"/>
      <c r="D3" s="19" t="n"/>
      <c r="E3" s="19" t="n"/>
      <c r="F3" s="19" t="n"/>
      <c r="G3" s="19" t="n"/>
      <c r="H3" s="20" t="n"/>
    </row>
    <row r="4">
      <c r="A4" s="16" t="n">
        <v>3</v>
      </c>
      <c r="B4" s="3" t="n"/>
      <c r="C4" s="3" t="n"/>
      <c r="D4" s="3" t="n"/>
      <c r="E4" s="3" t="n"/>
      <c r="F4" s="3" t="n"/>
      <c r="G4" s="3" t="n"/>
      <c r="H4" s="17" t="n"/>
    </row>
    <row r="5">
      <c r="A5" s="18" t="n">
        <v>4</v>
      </c>
      <c r="B5" s="19" t="n"/>
      <c r="C5" s="19" t="n"/>
      <c r="D5" s="19" t="n"/>
      <c r="E5" s="19" t="n"/>
      <c r="F5" s="19" t="n"/>
      <c r="G5" s="19" t="n"/>
      <c r="H5" s="20" t="n"/>
    </row>
    <row r="6">
      <c r="A6" s="16" t="n">
        <v>5</v>
      </c>
      <c r="B6" s="3" t="n"/>
      <c r="C6" s="3" t="n"/>
      <c r="D6" s="3" t="n"/>
      <c r="E6" s="3" t="n"/>
      <c r="F6" s="3" t="n"/>
      <c r="G6" s="3" t="n"/>
      <c r="H6" s="17" t="n"/>
    </row>
    <row r="7">
      <c r="A7" s="18" t="n">
        <v>6</v>
      </c>
      <c r="B7" s="19" t="n"/>
      <c r="C7" s="19" t="n"/>
      <c r="D7" s="19" t="n"/>
      <c r="E7" s="19" t="n"/>
      <c r="F7" s="19" t="n"/>
      <c r="G7" s="19" t="n"/>
      <c r="H7" s="20" t="n"/>
    </row>
    <row r="8">
      <c r="A8" s="16" t="n">
        <v>7</v>
      </c>
      <c r="B8" s="3" t="n"/>
      <c r="C8" s="3" t="n"/>
      <c r="D8" s="3" t="n"/>
      <c r="E8" s="3" t="n"/>
      <c r="F8" s="3" t="n"/>
      <c r="G8" s="3" t="n"/>
      <c r="H8" s="17" t="n"/>
    </row>
    <row r="9">
      <c r="A9" s="18" t="n">
        <v>8</v>
      </c>
      <c r="B9" s="19" t="n"/>
      <c r="C9" s="19" t="n"/>
      <c r="D9" s="19" t="n"/>
      <c r="E9" s="19" t="n"/>
      <c r="F9" s="19" t="n"/>
      <c r="G9" s="19" t="n"/>
      <c r="H9" s="20" t="n"/>
    </row>
    <row r="10">
      <c r="A10" s="16" t="n">
        <v>9</v>
      </c>
      <c r="B10" s="3" t="n"/>
      <c r="C10" s="3" t="n"/>
      <c r="D10" s="3" t="n"/>
      <c r="E10" s="3" t="n"/>
      <c r="F10" s="3" t="n"/>
      <c r="G10" s="3" t="n"/>
      <c r="H10" s="17" t="n"/>
    </row>
    <row r="11">
      <c r="A11" s="18" t="n">
        <v>10</v>
      </c>
      <c r="B11" s="19" t="n"/>
      <c r="C11" s="19" t="n"/>
      <c r="D11" s="19" t="n"/>
      <c r="E11" s="19" t="n"/>
      <c r="F11" s="19" t="n"/>
      <c r="G11" s="19" t="n"/>
      <c r="H11" s="2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7" t="inlineStr">
        <is>
          <t>Indicador</t>
        </is>
      </c>
      <c r="B1" s="7" t="inlineStr">
        <is>
          <t>Fórmula</t>
        </is>
      </c>
      <c r="C1" s="7" t="inlineStr">
        <is>
          <t>2023</t>
        </is>
      </c>
      <c r="D1" s="7" t="inlineStr">
        <is>
          <t>2024</t>
        </is>
      </c>
      <c r="E1" s="7" t="inlineStr">
        <is>
          <t>Delta</t>
        </is>
      </c>
      <c r="F1" s="7" t="inlineStr">
        <is>
          <t>Tendencia</t>
        </is>
      </c>
    </row>
    <row r="2">
      <c r="A2" s="4" t="inlineStr">
        <is>
          <t>MÁRGENES</t>
        </is>
      </c>
    </row>
    <row r="3">
      <c r="A3" s="21" t="inlineStr">
        <is>
          <t>Margen Bruto (Gross Margin)</t>
        </is>
      </c>
      <c r="B3" s="22" t="inlineStr">
        <is>
          <t>Utilidad Bruta / Ingresos × 100</t>
        </is>
      </c>
      <c r="C3" s="23" t="n"/>
      <c r="D3" s="23" t="n"/>
      <c r="E3" s="24">
        <f>IF(C3="","",D3-C3)</f>
        <v/>
      </c>
      <c r="F3" s="25">
        <f>IF(E3="","",IF(E3&gt;0,"↑",IF(E3&lt;0,"↓","→")))</f>
        <v/>
      </c>
    </row>
    <row r="4">
      <c r="A4" s="21" t="inlineStr">
        <is>
          <t>Margen Operacional (Operating Margin)</t>
        </is>
      </c>
      <c r="B4" s="22" t="inlineStr">
        <is>
          <t>EBIT / Ingresos × 100</t>
        </is>
      </c>
      <c r="C4" s="23" t="n"/>
      <c r="D4" s="23" t="n"/>
      <c r="E4" s="24">
        <f>IF(C4="","",D4-C4)</f>
        <v/>
      </c>
      <c r="F4" s="25">
        <f>IF(E4="","",IF(E4&gt;0,"↑",IF(E4&lt;0,"↓","→")))</f>
        <v/>
      </c>
    </row>
    <row r="5">
      <c r="A5" s="21" t="inlineStr">
        <is>
          <t>Margen EBITDA</t>
        </is>
      </c>
      <c r="B5" s="22" t="inlineStr">
        <is>
          <t>EBITDA / Ingresos × 100</t>
        </is>
      </c>
      <c r="C5" s="23" t="n"/>
      <c r="D5" s="23" t="n"/>
      <c r="E5" s="24">
        <f>IF(C5="","",D5-C5)</f>
        <v/>
      </c>
      <c r="F5" s="25">
        <f>IF(E5="","",IF(E5&gt;0,"↑",IF(E5&lt;0,"↓","→")))</f>
        <v/>
      </c>
    </row>
    <row r="6">
      <c r="A6" s="21" t="inlineStr">
        <is>
          <t>Margen Neto (Net Margin)</t>
        </is>
      </c>
      <c r="B6" s="22" t="inlineStr">
        <is>
          <t>Utilidad Neta / Ingresos × 100</t>
        </is>
      </c>
      <c r="C6" s="23" t="n"/>
      <c r="D6" s="23" t="n"/>
      <c r="E6" s="24">
        <f>IF(C6="","",D6-C6)</f>
        <v/>
      </c>
      <c r="F6" s="25">
        <f>IF(E6="","",IF(E6&gt;0,"↑",IF(E6&lt;0,"↓","→")))</f>
        <v/>
      </c>
    </row>
    <row r="8">
      <c r="A8" s="4" t="inlineStr">
        <is>
          <t>LIQUIDEZ</t>
        </is>
      </c>
    </row>
    <row r="9">
      <c r="A9" s="21" t="inlineStr">
        <is>
          <t>Razón Corriente (Current Ratio)</t>
        </is>
      </c>
      <c r="B9" s="22" t="inlineStr">
        <is>
          <t>Activos Corrientes / Pasivos Corrientes</t>
        </is>
      </c>
      <c r="C9" s="23" t="n"/>
      <c r="D9" s="23" t="n"/>
      <c r="E9" s="24">
        <f>IF(C9="","",D9-C9)</f>
        <v/>
      </c>
      <c r="F9" s="25">
        <f>IF(E9="","",IF(E9&gt;0,"↑",IF(E9&lt;0,"↓","→")))</f>
        <v/>
      </c>
    </row>
    <row r="10">
      <c r="A10" s="21" t="inlineStr">
        <is>
          <t>Prueba Ácida (Quick Ratio)</t>
        </is>
      </c>
      <c r="B10" s="22" t="inlineStr">
        <is>
          <t>(Act. Corrientes - Inventarios) / Pas. Corrientes</t>
        </is>
      </c>
      <c r="C10" s="23" t="n"/>
      <c r="D10" s="23" t="n"/>
      <c r="E10" s="24">
        <f>IF(C10="","",D10-C10)</f>
        <v/>
      </c>
      <c r="F10" s="25">
        <f>IF(E10="","",IF(E10&gt;0,"↑",IF(E10&lt;0,"↓","→")))</f>
        <v/>
      </c>
    </row>
    <row r="11">
      <c r="A11" s="21" t="inlineStr">
        <is>
          <t>Capital de Trabajo Neto</t>
        </is>
      </c>
      <c r="B11" s="22" t="inlineStr">
        <is>
          <t>Activos Corrientes - Pasivos Corrientes</t>
        </is>
      </c>
      <c r="C11" s="23" t="n"/>
      <c r="D11" s="23" t="n"/>
      <c r="E11" s="24">
        <f>IF(C11="","",D11-C11)</f>
        <v/>
      </c>
      <c r="F11" s="25">
        <f>IF(E11="","",IF(E11&gt;0,"↑",IF(E11&lt;0,"↓","→")))</f>
        <v/>
      </c>
    </row>
    <row r="13">
      <c r="A13" s="4" t="inlineStr">
        <is>
          <t>ENDEUDAMIENTO</t>
        </is>
      </c>
    </row>
    <row r="14">
      <c r="A14" s="21" t="inlineStr">
        <is>
          <t>Endeudamiento Total</t>
        </is>
      </c>
      <c r="B14" s="22" t="inlineStr">
        <is>
          <t>Pasivos / Activos × 100</t>
        </is>
      </c>
      <c r="C14" s="23" t="n"/>
      <c r="D14" s="23" t="n"/>
      <c r="E14" s="24">
        <f>IF(C14="","",D14-C14)</f>
        <v/>
      </c>
      <c r="F14" s="25">
        <f>IF(E14="","",IF(E14&gt;0,"↑",IF(E14&lt;0,"↓","→")))</f>
        <v/>
      </c>
    </row>
    <row r="15">
      <c r="A15" s="21" t="inlineStr">
        <is>
          <t>Deuda / Patrimonio (D/E)</t>
        </is>
      </c>
      <c r="B15" s="22" t="inlineStr">
        <is>
          <t>Pasivos / Patrimonio</t>
        </is>
      </c>
      <c r="C15" s="23" t="n"/>
      <c r="D15" s="23" t="n"/>
      <c r="E15" s="24">
        <f>IF(C15="","",D15-C15)</f>
        <v/>
      </c>
      <c r="F15" s="25">
        <f>IF(E15="","",IF(E15&gt;0,"↑",IF(E15&lt;0,"↓","→")))</f>
        <v/>
      </c>
    </row>
    <row r="16">
      <c r="A16" s="21" t="inlineStr">
        <is>
          <t>Deuda / EBITDA</t>
        </is>
      </c>
      <c r="B16" s="22" t="inlineStr">
        <is>
          <t>Deuda Financiera / EBITDA</t>
        </is>
      </c>
      <c r="C16" s="23" t="n"/>
      <c r="D16" s="23" t="n"/>
      <c r="E16" s="24">
        <f>IF(C16="","",D16-C16)</f>
        <v/>
      </c>
      <c r="F16" s="25">
        <f>IF(E16="","",IF(E16&gt;0,"↑",IF(E16&lt;0,"↓","→")))</f>
        <v/>
      </c>
    </row>
    <row r="18">
      <c r="A18" s="4" t="inlineStr">
        <is>
          <t>RENTABILIDAD</t>
        </is>
      </c>
    </row>
    <row r="19">
      <c r="A19" s="21" t="inlineStr">
        <is>
          <t>ROA (Return on Assets)</t>
        </is>
      </c>
      <c r="B19" s="22" t="inlineStr">
        <is>
          <t>Utilidad Neta / Activos × 100</t>
        </is>
      </c>
      <c r="C19" s="23" t="n"/>
      <c r="D19" s="23" t="n"/>
      <c r="E19" s="24">
        <f>IF(C19="","",D19-C19)</f>
        <v/>
      </c>
      <c r="F19" s="25">
        <f>IF(E19="","",IF(E19&gt;0,"↑",IF(E19&lt;0,"↓","→")))</f>
        <v/>
      </c>
    </row>
    <row r="20">
      <c r="A20" s="21" t="inlineStr">
        <is>
          <t>ROE (Return on Equity)</t>
        </is>
      </c>
      <c r="B20" s="22" t="inlineStr">
        <is>
          <t>Utilidad Neta / Patrimonio × 100</t>
        </is>
      </c>
      <c r="C20" s="23" t="n"/>
      <c r="D20" s="23" t="n"/>
      <c r="E20" s="24">
        <f>IF(C20="","",D20-C20)</f>
        <v/>
      </c>
      <c r="F20" s="25">
        <f>IF(E20="","",IF(E20&gt;0,"↑",IF(E20&lt;0,"↓","→")))</f>
        <v/>
      </c>
    </row>
    <row r="22">
      <c r="A22" s="4" t="inlineStr">
        <is>
          <t>COBERTURA</t>
        </is>
      </c>
    </row>
    <row r="23">
      <c r="A23" s="21" t="inlineStr">
        <is>
          <t>Cobertura de Intereses</t>
        </is>
      </c>
      <c r="B23" s="22" t="inlineStr">
        <is>
          <t>EBIT / Gastos Financieros</t>
        </is>
      </c>
      <c r="C23" s="23" t="n"/>
      <c r="D23" s="23" t="n"/>
      <c r="E23" s="24">
        <f>IF(C23="","",D23-C23)</f>
        <v/>
      </c>
      <c r="F23" s="25">
        <f>IF(E23="","",IF(E23&gt;0,"↑",IF(E23&lt;0,"↓","→")))</f>
        <v/>
      </c>
    </row>
  </sheetData>
  <mergeCells count="5">
    <mergeCell ref="A2:F2"/>
    <mergeCell ref="A13:F13"/>
    <mergeCell ref="A8:F8"/>
    <mergeCell ref="A22:F22"/>
    <mergeCell ref="A18:F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15" customWidth="1" min="4" max="4"/>
    <col width="15" customWidth="1" min="5" max="5"/>
  </cols>
  <sheetData>
    <row r="1">
      <c r="A1" s="4" t="inlineStr">
        <is>
          <t>ALERTAS</t>
        </is>
      </c>
    </row>
    <row r="2">
      <c r="A2" s="7" t="inlineStr">
        <is>
          <t>Tipo</t>
        </is>
      </c>
      <c r="B2" s="7" t="inlineStr">
        <is>
          <t>Partida/Indicador</t>
        </is>
      </c>
      <c r="C2" s="7" t="inlineStr">
        <is>
          <t>Descripción</t>
        </is>
      </c>
      <c r="D2" s="7" t="inlineStr">
        <is>
          <t>Severidad</t>
        </is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5">
      <c r="A15" s="4" t="inlineStr">
        <is>
          <t>RECOMENDACIONES ESTRATÉGICAS</t>
        </is>
      </c>
    </row>
    <row r="16">
      <c r="A16" s="7" t="inlineStr">
        <is>
          <t>#</t>
        </is>
      </c>
      <c r="B16" s="7" t="inlineStr">
        <is>
          <t>Recomendación</t>
        </is>
      </c>
      <c r="C16" s="7" t="inlineStr">
        <is>
          <t>Prioridad</t>
        </is>
      </c>
      <c r="D16" s="7" t="inlineStr">
        <is>
          <t>Horizonte</t>
        </is>
      </c>
      <c r="E16" s="7" t="inlineStr">
        <is>
          <t>Hallazgo Base</t>
        </is>
      </c>
    </row>
    <row r="17">
      <c r="A17" s="26" t="n">
        <v>1</v>
      </c>
      <c r="B17" s="17" t="n"/>
      <c r="C17" s="3" t="n"/>
      <c r="D17" s="3" t="n"/>
      <c r="E17" s="17" t="n"/>
    </row>
    <row r="18">
      <c r="A18" s="26" t="n">
        <v>2</v>
      </c>
      <c r="B18" s="17" t="n"/>
      <c r="C18" s="3" t="n"/>
      <c r="D18" s="3" t="n"/>
      <c r="E18" s="17" t="n"/>
    </row>
    <row r="19">
      <c r="A19" s="26" t="n">
        <v>3</v>
      </c>
      <c r="B19" s="17" t="n"/>
      <c r="C19" s="3" t="n"/>
      <c r="D19" s="3" t="n"/>
      <c r="E19" s="17" t="n"/>
    </row>
    <row r="20">
      <c r="A20" s="26" t="n">
        <v>4</v>
      </c>
      <c r="B20" s="17" t="n"/>
      <c r="C20" s="3" t="n"/>
      <c r="D20" s="3" t="n"/>
      <c r="E20" s="17" t="n"/>
    </row>
    <row r="21">
      <c r="A21" s="26" t="n">
        <v>5</v>
      </c>
      <c r="B21" s="17" t="n"/>
      <c r="C21" s="3" t="n"/>
      <c r="D21" s="3" t="n"/>
      <c r="E21" s="17" t="n"/>
    </row>
  </sheetData>
  <mergeCells count="2">
    <mergeCell ref="A1:D1"/>
    <mergeCell ref="A15:E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7" t="inlineStr">
        <is>
          <t>NOTAS METODOLÓGICAS</t>
        </is>
      </c>
    </row>
    <row r="2">
      <c r="A2" s="28" t="inlineStr"/>
    </row>
    <row r="3">
      <c r="A3" s="29" t="inlineStr">
        <is>
          <t>Fórmulas utilizadas:</t>
        </is>
      </c>
    </row>
    <row r="4">
      <c r="A4" s="28" t="inlineStr">
        <is>
          <t>• Variación Absoluta = Período Comparación - Período Base</t>
        </is>
      </c>
    </row>
    <row r="5">
      <c r="A5" s="28" t="inlineStr">
        <is>
          <t>• Variación Relativa (%) = (Var. Absoluta / |Período Base|) × 100</t>
        </is>
      </c>
    </row>
    <row r="6">
      <c r="A6" s="28" t="inlineStr">
        <is>
          <t>• Participación = Partida / Total del estado × 100</t>
        </is>
      </c>
    </row>
    <row r="7">
      <c r="A7" s="28" t="inlineStr">
        <is>
          <t>• Índice de Materialidad = |Var. Absoluta| × (Participación / 100)</t>
        </is>
      </c>
    </row>
    <row r="8">
      <c r="A8" s="28" t="inlineStr"/>
    </row>
    <row r="9">
      <c r="A9" s="29" t="inlineStr">
        <is>
          <t>Supuestos aplicados:</t>
        </is>
      </c>
    </row>
    <row r="10">
      <c r="A10" s="28" t="inlineStr">
        <is>
          <t>• Los estados financieros de ambos períodos están expresados bajo las mismas normas contables</t>
        </is>
      </c>
    </row>
    <row r="11">
      <c r="A11" s="28" t="inlineStr">
        <is>
          <t>• La moneda y escala son consistentes entre períodos</t>
        </is>
      </c>
    </row>
    <row r="12">
      <c r="A12" s="28" t="inlineStr">
        <is>
          <t>• Las reclasificaciones contables han sido identificadas y documentadas</t>
        </is>
      </c>
    </row>
    <row r="13">
      <c r="A13" s="28" t="inlineStr"/>
    </row>
    <row r="14">
      <c r="A14" s="29" t="inlineStr">
        <is>
          <t>Criterios de materialidad:</t>
        </is>
      </c>
    </row>
    <row r="15">
      <c r="A15" s="28" t="inlineStr">
        <is>
          <t>• Variación &gt; ±5%: Incluida en análisis de drivers</t>
        </is>
      </c>
    </row>
    <row r="16">
      <c r="A16" s="28" t="inlineStr">
        <is>
          <t>• Participación &gt; 1% del total: Analizada independientemente</t>
        </is>
      </c>
    </row>
    <row r="17">
      <c r="A17" s="28" t="inlineStr">
        <is>
          <t>• Top 10 variaciones absolutas: Siempre incluidas en ranking</t>
        </is>
      </c>
    </row>
    <row r="18">
      <c r="A18" s="28" t="inlineStr"/>
    </row>
    <row r="19">
      <c r="A19" s="29" t="inlineStr">
        <is>
          <t>Señalización:</t>
        </is>
      </c>
    </row>
    <row r="20">
      <c r="A20" s="28" t="inlineStr">
        <is>
          <t>• 🟢 ↑↑ Fuerte mejora: Variación favorable &gt; +15%</t>
        </is>
      </c>
    </row>
    <row r="21">
      <c r="A21" s="28" t="inlineStr">
        <is>
          <t>• 🟢 ↑ Mejora: Variación favorable +5% a +15%</t>
        </is>
      </c>
    </row>
    <row r="22">
      <c r="A22" s="28" t="inlineStr">
        <is>
          <t>• ⚪ → Estable: Variación -5% a +5%</t>
        </is>
      </c>
    </row>
    <row r="23">
      <c r="A23" s="28" t="inlineStr">
        <is>
          <t>• 🟡 ↓ Deterioro: Variación desfavorable -5% a -15%</t>
        </is>
      </c>
    </row>
    <row r="24">
      <c r="A24" s="28" t="inlineStr">
        <is>
          <t>• 🔴 ↓↓ Alerta: Variación desfavorable &lt; -15%</t>
        </is>
      </c>
    </row>
    <row r="25">
      <c r="A25" s="28" t="inlineStr">
        <is>
          <t>• 🔵 Nueva: Partida nueva (base = 0)</t>
        </is>
      </c>
    </row>
    <row r="26">
      <c r="A26" s="28" t="inlineStr"/>
    </row>
    <row r="27">
      <c r="A27" s="29" t="inlineStr">
        <is>
          <t>Fuente de datos:</t>
        </is>
      </c>
    </row>
    <row r="28">
      <c r="A28" s="28" t="inlineStr">
        <is>
          <t>• Estados financieros proporcionados por Empresa Demo S.A.</t>
        </is>
      </c>
    </row>
    <row r="29">
      <c r="A29" s="28" t="inlineStr">
        <is>
          <t>• Análisis generado con asistencia de IA</t>
        </is>
      </c>
    </row>
    <row r="30">
      <c r="A30" s="28" t="inlineStr"/>
    </row>
    <row r="31">
      <c r="A31" s="29" t="inlineStr">
        <is>
          <t>Limitaciones:</t>
        </is>
      </c>
    </row>
    <row r="32">
      <c r="A32" s="28" t="inlineStr">
        <is>
          <t>• El análisis se basa exclusivamente en la información proporcionada</t>
        </is>
      </c>
    </row>
    <row r="33">
      <c r="A33" s="28" t="inlineStr">
        <is>
          <t>• No se ha realizado auditoría independiente de las cifras</t>
        </is>
      </c>
    </row>
    <row r="34">
      <c r="A34" s="28" t="inlineStr">
        <is>
          <t>• Los drivers identificados son hipótesis basadas en la información disponible</t>
        </is>
      </c>
    </row>
    <row r="35">
      <c r="A35" s="28" t="inlineStr">
        <is>
          <t>• Los indicadores se calculan con los datos disponibles; algunos pueden requerir información adicional</t>
        </is>
      </c>
    </row>
    <row r="36">
      <c r="A36" s="28" t="inlineStr"/>
    </row>
    <row r="37">
      <c r="A37" s="30" t="inlineStr">
        <is>
          <t>Fecha de elaboración: 2026-03-17</t>
        </is>
      </c>
    </row>
    <row r="38">
      <c r="A38" s="30" t="inlineStr">
        <is>
          <t>Versión: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2026-03-17T22:37:35Z</dcterms:created>
  <dcterms:modified xmlns:dcterms="http://purl.org/dc/terms/" xmlns:xsi="http://www.w3.org/2001/XMLSchema-instance" xsi:type="dcterms:W3CDTF">2026-03-17T22:37:35Z</dcterms:modified>
</cp:coreProperties>
</file>